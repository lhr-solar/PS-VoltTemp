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J1VR Thermistor Resistance D" sheetId="1" r:id="rId5"/>
  </sheets>
  <definedNames/>
  <calcPr/>
</workbook>
</file>

<file path=xl/sharedStrings.xml><?xml version="1.0" encoding="utf-8"?>
<sst xmlns="http://schemas.openxmlformats.org/spreadsheetml/2006/main" count="6" uniqueCount="6">
  <si>
    <t>Temperature (°C)</t>
  </si>
  <si>
    <t>Resistance Value (Ratio)</t>
  </si>
  <si>
    <t>Resistance Value (Ohms)</t>
  </si>
  <si>
    <t>Vin (b/t therm &amp; 6.49k res)</t>
  </si>
  <si>
    <t>Vout (opamp output, gain 2)</t>
  </si>
  <si>
    <t>ADC 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</si>
</sst>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9.25"/>
    <col customWidth="1" min="3" max="3" width="19.88"/>
    <col customWidth="1" min="4" max="4" width="20.38"/>
    <col customWidth="1" min="5" max="5" width="21.63"/>
    <col customWidth="1" min="6" max="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-40.0</v>
      </c>
      <c r="B2" s="1">
        <v>40.49</v>
      </c>
      <c r="C2" s="2">
        <f t="shared" ref="C2:C40" si="1">B2*100000</f>
        <v>4049000</v>
      </c>
      <c r="D2" s="2">
        <f t="shared" ref="D2:D40" si="2">(6490/(6490+C2))*3.3</f>
        <v>0.005280989474</v>
      </c>
      <c r="E2" s="2">
        <f t="shared" ref="E2:E40" si="3">D2*2</f>
        <v>0.01056197895</v>
      </c>
      <c r="F2" s="2">
        <f t="shared" ref="F2:F40" si="4">(E2/3.3)*4096</f>
        <v>13.10965629</v>
      </c>
    </row>
    <row r="3">
      <c r="A3" s="1">
        <v>-35.0</v>
      </c>
      <c r="B3" s="1">
        <v>28.81</v>
      </c>
      <c r="C3" s="2">
        <f t="shared" si="1"/>
        <v>2881000</v>
      </c>
      <c r="D3" s="2">
        <f t="shared" si="2"/>
        <v>0.007417168544</v>
      </c>
      <c r="E3" s="2">
        <f t="shared" si="3"/>
        <v>0.01483433709</v>
      </c>
      <c r="F3" s="2">
        <f t="shared" si="4"/>
        <v>18.412559</v>
      </c>
    </row>
    <row r="4">
      <c r="A4" s="1">
        <v>-30.0</v>
      </c>
      <c r="B4" s="1">
        <v>20.72</v>
      </c>
      <c r="C4" s="2">
        <f t="shared" si="1"/>
        <v>2072000</v>
      </c>
      <c r="D4" s="2">
        <f t="shared" si="2"/>
        <v>0.01030411501</v>
      </c>
      <c r="E4" s="2">
        <f t="shared" si="3"/>
        <v>0.02060823001</v>
      </c>
      <c r="F4" s="2">
        <f t="shared" si="4"/>
        <v>25.57918489</v>
      </c>
    </row>
    <row r="5">
      <c r="A5" s="1">
        <v>-25.0</v>
      </c>
      <c r="B5" s="1">
        <v>15.07</v>
      </c>
      <c r="C5" s="2">
        <f t="shared" si="1"/>
        <v>1507000</v>
      </c>
      <c r="D5" s="2">
        <f t="shared" si="2"/>
        <v>0.0141507377</v>
      </c>
      <c r="E5" s="2">
        <f t="shared" si="3"/>
        <v>0.0283014754</v>
      </c>
      <c r="F5" s="2">
        <f t="shared" si="4"/>
        <v>35.12813431</v>
      </c>
    </row>
    <row r="6">
      <c r="A6" s="1">
        <v>-20.0</v>
      </c>
      <c r="B6" s="1">
        <v>11.06</v>
      </c>
      <c r="C6" s="2">
        <f t="shared" si="1"/>
        <v>1106000</v>
      </c>
      <c r="D6" s="2">
        <f t="shared" si="2"/>
        <v>0.019251409</v>
      </c>
      <c r="E6" s="2">
        <f t="shared" si="3"/>
        <v>0.038502818</v>
      </c>
      <c r="F6" s="2">
        <f t="shared" si="4"/>
        <v>47.79016441</v>
      </c>
    </row>
    <row r="7">
      <c r="A7" s="1">
        <v>-15.0</v>
      </c>
      <c r="B7" s="1">
        <v>8.198</v>
      </c>
      <c r="C7" s="2">
        <f t="shared" si="1"/>
        <v>819800</v>
      </c>
      <c r="D7" s="2">
        <f t="shared" si="2"/>
        <v>0.02591947137</v>
      </c>
      <c r="E7" s="2">
        <f t="shared" si="3"/>
        <v>0.05183894274</v>
      </c>
      <c r="F7" s="2">
        <f t="shared" si="4"/>
        <v>64.34312408</v>
      </c>
    </row>
    <row r="8">
      <c r="A8" s="1">
        <v>-10.0</v>
      </c>
      <c r="B8" s="1">
        <v>6.129</v>
      </c>
      <c r="C8" s="2">
        <f t="shared" si="1"/>
        <v>612900</v>
      </c>
      <c r="D8" s="2">
        <f t="shared" si="2"/>
        <v>0.03457756825</v>
      </c>
      <c r="E8" s="2">
        <f t="shared" si="3"/>
        <v>0.06915513651</v>
      </c>
      <c r="F8" s="2">
        <f t="shared" si="4"/>
        <v>85.83619367</v>
      </c>
    </row>
    <row r="9">
      <c r="A9" s="1">
        <v>-5.0</v>
      </c>
      <c r="B9" s="1">
        <v>4.622</v>
      </c>
      <c r="C9" s="2">
        <f t="shared" si="1"/>
        <v>462200</v>
      </c>
      <c r="D9" s="2">
        <f t="shared" si="2"/>
        <v>0.04569544902</v>
      </c>
      <c r="E9" s="2">
        <f t="shared" si="3"/>
        <v>0.09139089803</v>
      </c>
      <c r="F9" s="2">
        <f t="shared" si="4"/>
        <v>113.4354904</v>
      </c>
    </row>
    <row r="10">
      <c r="A10" s="1">
        <v>0.0</v>
      </c>
      <c r="B10" s="1">
        <v>3.515</v>
      </c>
      <c r="C10" s="2">
        <f t="shared" si="1"/>
        <v>351500</v>
      </c>
      <c r="D10" s="2">
        <f t="shared" si="2"/>
        <v>0.05982569346</v>
      </c>
      <c r="E10" s="2">
        <f t="shared" si="3"/>
        <v>0.1196513869</v>
      </c>
      <c r="F10" s="2">
        <f t="shared" si="4"/>
        <v>148.5127518</v>
      </c>
    </row>
    <row r="11">
      <c r="A11" s="1">
        <v>5.0</v>
      </c>
      <c r="B11" s="1">
        <v>2.694</v>
      </c>
      <c r="C11" s="2">
        <f t="shared" si="1"/>
        <v>269400</v>
      </c>
      <c r="D11" s="2">
        <f t="shared" si="2"/>
        <v>0.07762876509</v>
      </c>
      <c r="E11" s="2">
        <f t="shared" si="3"/>
        <v>0.1552575302</v>
      </c>
      <c r="F11" s="2">
        <f t="shared" si="4"/>
        <v>192.7075284</v>
      </c>
    </row>
    <row r="12">
      <c r="A12" s="1">
        <v>10.0</v>
      </c>
      <c r="B12" s="1">
        <v>2.08</v>
      </c>
      <c r="C12" s="2">
        <f t="shared" si="1"/>
        <v>208000</v>
      </c>
      <c r="D12" s="2">
        <f t="shared" si="2"/>
        <v>0.0998508089</v>
      </c>
      <c r="E12" s="2">
        <f t="shared" si="3"/>
        <v>0.1997016178</v>
      </c>
      <c r="F12" s="2">
        <f t="shared" si="4"/>
        <v>247.8720686</v>
      </c>
    </row>
    <row r="13">
      <c r="A13" s="1">
        <v>15.0</v>
      </c>
      <c r="B13" s="1">
        <v>1.618</v>
      </c>
      <c r="C13" s="2">
        <f t="shared" si="1"/>
        <v>161800</v>
      </c>
      <c r="D13" s="2">
        <f t="shared" si="2"/>
        <v>0.1272624636</v>
      </c>
      <c r="E13" s="2">
        <f t="shared" si="3"/>
        <v>0.2545249272</v>
      </c>
      <c r="F13" s="2">
        <f t="shared" si="4"/>
        <v>315.9194248</v>
      </c>
    </row>
    <row r="14">
      <c r="A14" s="1">
        <v>20.0</v>
      </c>
      <c r="B14" s="1">
        <v>1.267</v>
      </c>
      <c r="C14" s="2">
        <f t="shared" si="1"/>
        <v>126700</v>
      </c>
      <c r="D14" s="2">
        <f t="shared" si="2"/>
        <v>0.1608003604</v>
      </c>
      <c r="E14" s="2">
        <f t="shared" si="3"/>
        <v>0.3216007208</v>
      </c>
      <c r="F14" s="2">
        <f t="shared" si="4"/>
        <v>399.1747128</v>
      </c>
    </row>
    <row r="15">
      <c r="A15" s="1">
        <v>25.0</v>
      </c>
      <c r="B15" s="1">
        <v>1.0</v>
      </c>
      <c r="C15" s="2">
        <f t="shared" si="1"/>
        <v>100000</v>
      </c>
      <c r="D15" s="2">
        <f t="shared" si="2"/>
        <v>0.2011174758</v>
      </c>
      <c r="E15" s="2">
        <f t="shared" si="3"/>
        <v>0.4022349516</v>
      </c>
      <c r="F15" s="2">
        <f t="shared" si="4"/>
        <v>499.2588975</v>
      </c>
    </row>
    <row r="16">
      <c r="A16" s="1">
        <v>30.0</v>
      </c>
      <c r="B16" s="1">
        <v>0.7944</v>
      </c>
      <c r="C16" s="2">
        <f t="shared" si="1"/>
        <v>79440</v>
      </c>
      <c r="D16" s="2">
        <f t="shared" si="2"/>
        <v>0.2492377517</v>
      </c>
      <c r="E16" s="2">
        <f t="shared" si="3"/>
        <v>0.4984755033</v>
      </c>
      <c r="F16" s="2">
        <f t="shared" si="4"/>
        <v>618.7138368</v>
      </c>
    </row>
    <row r="17">
      <c r="A17" s="1">
        <v>35.0</v>
      </c>
      <c r="B17" s="1">
        <v>0.635</v>
      </c>
      <c r="C17" s="2">
        <f t="shared" si="1"/>
        <v>63500</v>
      </c>
      <c r="D17" s="2">
        <f t="shared" si="2"/>
        <v>0.3060008573</v>
      </c>
      <c r="E17" s="2">
        <f t="shared" si="3"/>
        <v>0.6120017145</v>
      </c>
      <c r="F17" s="2">
        <f t="shared" si="4"/>
        <v>759.6239463</v>
      </c>
    </row>
    <row r="18">
      <c r="A18" s="1">
        <v>40.0</v>
      </c>
      <c r="B18" s="1">
        <v>0.5108</v>
      </c>
      <c r="C18" s="2">
        <f t="shared" si="1"/>
        <v>51080</v>
      </c>
      <c r="D18" s="2">
        <f t="shared" si="2"/>
        <v>0.3720166754</v>
      </c>
      <c r="E18" s="2">
        <f t="shared" si="3"/>
        <v>0.7440333507</v>
      </c>
      <c r="F18" s="2">
        <f t="shared" si="4"/>
        <v>923.5032135</v>
      </c>
    </row>
    <row r="19">
      <c r="A19" s="1">
        <v>45.0</v>
      </c>
      <c r="B19" s="1">
        <v>0.4132</v>
      </c>
      <c r="C19" s="2">
        <f t="shared" si="1"/>
        <v>41320</v>
      </c>
      <c r="D19" s="2">
        <f t="shared" si="2"/>
        <v>0.4479606777</v>
      </c>
      <c r="E19" s="2">
        <f t="shared" si="3"/>
        <v>0.8959213554</v>
      </c>
      <c r="F19" s="2">
        <f t="shared" si="4"/>
        <v>1112.028446</v>
      </c>
    </row>
    <row r="20">
      <c r="A20" s="1">
        <v>50.0</v>
      </c>
      <c r="B20" s="1">
        <v>0.3363</v>
      </c>
      <c r="C20" s="2">
        <f t="shared" si="1"/>
        <v>33630</v>
      </c>
      <c r="D20" s="2">
        <f t="shared" si="2"/>
        <v>0.5338235294</v>
      </c>
      <c r="E20" s="2">
        <f t="shared" si="3"/>
        <v>1.067647059</v>
      </c>
      <c r="F20" s="2">
        <f t="shared" si="4"/>
        <v>1325.176471</v>
      </c>
    </row>
    <row r="21">
      <c r="A21" s="1">
        <v>55.0</v>
      </c>
      <c r="B21" s="1">
        <v>0.2752</v>
      </c>
      <c r="C21" s="2">
        <f t="shared" si="1"/>
        <v>27520</v>
      </c>
      <c r="D21" s="2">
        <f t="shared" si="2"/>
        <v>0.629726551</v>
      </c>
      <c r="E21" s="2">
        <f t="shared" si="3"/>
        <v>1.259453102</v>
      </c>
      <c r="F21" s="2">
        <f t="shared" si="4"/>
        <v>1563.248456</v>
      </c>
    </row>
    <row r="22">
      <c r="A22" s="1">
        <v>60.0</v>
      </c>
      <c r="B22" s="1">
        <v>0.2263</v>
      </c>
      <c r="C22" s="2">
        <f t="shared" si="1"/>
        <v>22630</v>
      </c>
      <c r="D22" s="2">
        <f t="shared" si="2"/>
        <v>0.7354739011</v>
      </c>
      <c r="E22" s="2">
        <f t="shared" si="3"/>
        <v>1.470947802</v>
      </c>
      <c r="F22" s="2">
        <f t="shared" si="4"/>
        <v>1825.758242</v>
      </c>
    </row>
    <row r="23">
      <c r="A23" s="1">
        <v>65.0</v>
      </c>
      <c r="B23" s="1">
        <v>0.1871</v>
      </c>
      <c r="C23" s="2">
        <f t="shared" si="1"/>
        <v>18710</v>
      </c>
      <c r="D23" s="2">
        <f t="shared" si="2"/>
        <v>0.8498809524</v>
      </c>
      <c r="E23" s="2">
        <f t="shared" si="3"/>
        <v>1.699761905</v>
      </c>
      <c r="F23" s="2">
        <f t="shared" si="4"/>
        <v>2109.765079</v>
      </c>
    </row>
    <row r="24">
      <c r="A24" s="1">
        <v>70.0</v>
      </c>
      <c r="B24" s="1">
        <v>0.1554</v>
      </c>
      <c r="C24" s="2">
        <f t="shared" si="1"/>
        <v>15540</v>
      </c>
      <c r="D24" s="2">
        <f t="shared" si="2"/>
        <v>0.9721743078</v>
      </c>
      <c r="E24" s="2">
        <f t="shared" si="3"/>
        <v>1.944348616</v>
      </c>
      <c r="F24" s="2">
        <f t="shared" si="4"/>
        <v>2413.349069</v>
      </c>
    </row>
    <row r="25">
      <c r="A25" s="1">
        <v>75.0</v>
      </c>
      <c r="B25" s="1">
        <v>0.1297</v>
      </c>
      <c r="C25" s="2">
        <f t="shared" si="1"/>
        <v>12970</v>
      </c>
      <c r="D25" s="2">
        <f t="shared" si="2"/>
        <v>1.100565262</v>
      </c>
      <c r="E25" s="2">
        <f t="shared" si="3"/>
        <v>2.201130524</v>
      </c>
      <c r="F25" s="2">
        <f t="shared" si="4"/>
        <v>2732.069887</v>
      </c>
    </row>
    <row r="26">
      <c r="A26" s="1">
        <v>80.0</v>
      </c>
      <c r="B26" s="1">
        <v>0.1087</v>
      </c>
      <c r="C26" s="2">
        <f t="shared" si="1"/>
        <v>10870</v>
      </c>
      <c r="D26" s="2">
        <f t="shared" si="2"/>
        <v>1.233698157</v>
      </c>
      <c r="E26" s="2">
        <f t="shared" si="3"/>
        <v>2.467396313</v>
      </c>
      <c r="F26" s="2">
        <f t="shared" si="4"/>
        <v>3062.562212</v>
      </c>
    </row>
    <row r="27">
      <c r="A27" s="1">
        <v>85.0</v>
      </c>
      <c r="B27" s="1">
        <v>0.09153</v>
      </c>
      <c r="C27" s="2">
        <f t="shared" si="1"/>
        <v>9153</v>
      </c>
      <c r="D27" s="2">
        <f t="shared" si="2"/>
        <v>1.369110784</v>
      </c>
      <c r="E27" s="2">
        <f t="shared" si="3"/>
        <v>2.738221569</v>
      </c>
      <c r="F27" s="2">
        <f t="shared" si="4"/>
        <v>3398.713802</v>
      </c>
    </row>
    <row r="28">
      <c r="A28" s="1">
        <v>90.0</v>
      </c>
      <c r="B28" s="1">
        <v>0.07738</v>
      </c>
      <c r="C28" s="2">
        <f t="shared" si="1"/>
        <v>7738</v>
      </c>
      <c r="D28" s="2">
        <f t="shared" si="2"/>
        <v>1.505271296</v>
      </c>
      <c r="E28" s="2">
        <f t="shared" si="3"/>
        <v>3.010542592</v>
      </c>
      <c r="F28" s="2">
        <f t="shared" si="4"/>
        <v>3736.721957</v>
      </c>
    </row>
    <row r="29">
      <c r="A29" s="1">
        <v>95.0</v>
      </c>
      <c r="B29" s="1">
        <v>0.06567</v>
      </c>
      <c r="C29" s="2">
        <f t="shared" si="1"/>
        <v>6567</v>
      </c>
      <c r="D29" s="2">
        <f t="shared" si="2"/>
        <v>1.640269587</v>
      </c>
      <c r="E29" s="2">
        <f t="shared" si="3"/>
        <v>3.280539174</v>
      </c>
      <c r="F29" s="2">
        <f t="shared" si="4"/>
        <v>4071.844987</v>
      </c>
    </row>
    <row r="30">
      <c r="A30" s="1">
        <v>100.0</v>
      </c>
      <c r="B30" s="1">
        <v>0.05596</v>
      </c>
      <c r="C30" s="2">
        <f t="shared" si="1"/>
        <v>5596</v>
      </c>
      <c r="D30" s="2">
        <f t="shared" si="2"/>
        <v>1.772050306</v>
      </c>
      <c r="E30" s="2">
        <f t="shared" si="3"/>
        <v>3.544100612</v>
      </c>
      <c r="F30" s="2">
        <f t="shared" si="4"/>
        <v>4398.980639</v>
      </c>
    </row>
    <row r="31">
      <c r="A31" s="1">
        <v>105.0</v>
      </c>
      <c r="B31" s="1">
        <v>0.04786</v>
      </c>
      <c r="C31" s="2">
        <f t="shared" si="1"/>
        <v>4786</v>
      </c>
      <c r="D31" s="2">
        <f t="shared" si="2"/>
        <v>1.899343739</v>
      </c>
      <c r="E31" s="2">
        <f t="shared" si="3"/>
        <v>3.798687478</v>
      </c>
      <c r="F31" s="2">
        <f t="shared" si="4"/>
        <v>4714.976942</v>
      </c>
    </row>
    <row r="32">
      <c r="A32" s="1">
        <v>110.0</v>
      </c>
      <c r="B32" s="1">
        <v>0.04108</v>
      </c>
      <c r="C32" s="2">
        <f t="shared" si="1"/>
        <v>4108</v>
      </c>
      <c r="D32" s="2">
        <f t="shared" si="2"/>
        <v>2.020852991</v>
      </c>
      <c r="E32" s="2">
        <f t="shared" si="3"/>
        <v>4.041705982</v>
      </c>
      <c r="F32" s="2">
        <f t="shared" si="4"/>
        <v>5016.614456</v>
      </c>
    </row>
    <row r="33">
      <c r="A33" s="1">
        <v>115.0</v>
      </c>
      <c r="B33" s="1">
        <v>0.03539</v>
      </c>
      <c r="C33" s="2">
        <f t="shared" si="1"/>
        <v>3539</v>
      </c>
      <c r="D33" s="2">
        <f t="shared" si="2"/>
        <v>2.13550703</v>
      </c>
      <c r="E33" s="2">
        <f t="shared" si="3"/>
        <v>4.271014059</v>
      </c>
      <c r="F33" s="2">
        <f t="shared" si="4"/>
        <v>5301.23442</v>
      </c>
    </row>
    <row r="34">
      <c r="A34" s="1">
        <v>120.0</v>
      </c>
      <c r="B34" s="1">
        <v>0.03059</v>
      </c>
      <c r="C34" s="2">
        <f t="shared" si="1"/>
        <v>3059</v>
      </c>
      <c r="D34" s="2">
        <f t="shared" si="2"/>
        <v>2.242852655</v>
      </c>
      <c r="E34" s="2">
        <f t="shared" si="3"/>
        <v>4.485705309</v>
      </c>
      <c r="F34" s="2">
        <f t="shared" si="4"/>
        <v>5567.711802</v>
      </c>
    </row>
    <row r="35">
      <c r="A35" s="1">
        <v>125.0</v>
      </c>
      <c r="B35" s="1">
        <v>0.02652</v>
      </c>
      <c r="C35" s="2">
        <f t="shared" si="1"/>
        <v>2652</v>
      </c>
      <c r="D35" s="2">
        <f t="shared" si="2"/>
        <v>2.342704004</v>
      </c>
      <c r="E35" s="2">
        <f t="shared" si="3"/>
        <v>4.685408007</v>
      </c>
      <c r="F35" s="2">
        <f t="shared" si="4"/>
        <v>5815.585211</v>
      </c>
    </row>
    <row r="36">
      <c r="A36" s="1">
        <v>130.0</v>
      </c>
      <c r="B36" s="1">
        <v>0.02307</v>
      </c>
      <c r="C36" s="2">
        <f t="shared" si="1"/>
        <v>2307</v>
      </c>
      <c r="D36" s="2">
        <f t="shared" si="2"/>
        <v>2.43457997</v>
      </c>
      <c r="E36" s="2">
        <f t="shared" si="3"/>
        <v>4.869159941</v>
      </c>
      <c r="F36" s="2">
        <f t="shared" si="4"/>
        <v>6043.660339</v>
      </c>
    </row>
    <row r="37">
      <c r="A37" s="1">
        <v>135.0</v>
      </c>
      <c r="B37" s="1">
        <v>0.02013</v>
      </c>
      <c r="C37" s="2">
        <f t="shared" si="1"/>
        <v>2013</v>
      </c>
      <c r="D37" s="2">
        <f t="shared" si="2"/>
        <v>2.518758085</v>
      </c>
      <c r="E37" s="2">
        <f t="shared" si="3"/>
        <v>5.037516171</v>
      </c>
      <c r="F37" s="2">
        <f t="shared" si="4"/>
        <v>6252.626132</v>
      </c>
    </row>
    <row r="38">
      <c r="A38" s="1">
        <v>140.0</v>
      </c>
      <c r="B38" s="1">
        <v>0.01762</v>
      </c>
      <c r="C38" s="2">
        <f t="shared" si="1"/>
        <v>1762</v>
      </c>
      <c r="D38" s="2">
        <f t="shared" si="2"/>
        <v>2.595370819</v>
      </c>
      <c r="E38" s="2">
        <f t="shared" si="3"/>
        <v>5.190741638</v>
      </c>
      <c r="F38" s="2">
        <f t="shared" si="4"/>
        <v>6442.81144</v>
      </c>
    </row>
    <row r="39">
      <c r="A39" s="1">
        <v>145.0</v>
      </c>
      <c r="B39" s="1">
        <v>0.01546</v>
      </c>
      <c r="C39" s="2">
        <f t="shared" si="1"/>
        <v>1546</v>
      </c>
      <c r="D39" s="2">
        <f t="shared" si="2"/>
        <v>2.665131906</v>
      </c>
      <c r="E39" s="2">
        <f t="shared" si="3"/>
        <v>5.330263813</v>
      </c>
      <c r="F39" s="2">
        <f t="shared" si="4"/>
        <v>6615.988054</v>
      </c>
    </row>
    <row r="40">
      <c r="A40" s="1">
        <v>150.0</v>
      </c>
      <c r="B40" s="1">
        <v>0.01361</v>
      </c>
      <c r="C40" s="2">
        <f t="shared" si="1"/>
        <v>1361</v>
      </c>
      <c r="D40" s="2">
        <f t="shared" si="2"/>
        <v>2.727932747</v>
      </c>
      <c r="E40" s="2">
        <f t="shared" si="3"/>
        <v>5.455865495</v>
      </c>
      <c r="F40" s="2">
        <f t="shared" si="4"/>
        <v>6771.886384</v>
      </c>
    </row>
  </sheetData>
  <drawing r:id="rId1"/>
</worksheet>
</file>